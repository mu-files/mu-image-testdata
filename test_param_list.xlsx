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uyttendaele/Projects/python/mu-image/muimg/tests/dngfiles/"/>
    </mc:Choice>
  </mc:AlternateContent>
  <xr:revisionPtr revIDLastSave="0" documentId="8_{F7BBE41E-7DEF-2C48-B42B-3B4CCF22B742}" xr6:coauthVersionLast="47" xr6:coauthVersionMax="47" xr10:uidLastSave="{00000000-0000-0000-0000-000000000000}"/>
  <bookViews>
    <workbookView xWindow="58100" yWindow="-11880" windowWidth="30460" windowHeight="23520" xr2:uid="{E2C592A5-8D61-CC46-B8CC-7D217EB23F9B}"/>
  </bookViews>
  <sheets>
    <sheet name="test_param_lis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1" l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2" i="1"/>
</calcChain>
</file>

<file path=xl/sharedStrings.xml><?xml version="1.0" encoding="utf-8"?>
<sst xmlns="http://schemas.openxmlformats.org/spreadsheetml/2006/main" count="45" uniqueCount="45">
  <si>
    <t>asi676mc_1.dng</t>
  </si>
  <si>
    <t>asi676mc_colorpattern_bcurve.dng</t>
  </si>
  <si>
    <t>asi676mc_colorpattern_exposure.dng</t>
  </si>
  <si>
    <t>asi676mc_colorpattern_gcurve.dng</t>
  </si>
  <si>
    <t>asi676mc_colorpattern_none.dng</t>
  </si>
  <si>
    <t>asi676mc_colorpattern_rcurve.dng</t>
  </si>
  <si>
    <t>asi676mc_colorpattern_temp-tint.dng</t>
  </si>
  <si>
    <t>asi676mc_curve.dng</t>
  </si>
  <si>
    <t>asi676mc_exposure.dng</t>
  </si>
  <si>
    <t>asi676mc_none.dng</t>
  </si>
  <si>
    <t>asi676mc_rgbcurve.dng</t>
  </si>
  <si>
    <t>canon_eos_r5_baselineexposure-bl1.dng</t>
  </si>
  <si>
    <t>canon_eos_r5_cfa_ljpeg_6ifds.dng</t>
  </si>
  <si>
    <t>canon_eos_r5_exposure.dng</t>
  </si>
  <si>
    <t>canon_eos_r5_mark_ii_linearraw_jxl_lossy_6ifds.dng</t>
  </si>
  <si>
    <t>canon_eos_r5_none.dng</t>
  </si>
  <si>
    <t>canon_eos_r5_temp-tint.dng</t>
  </si>
  <si>
    <t>dc-s9_1.dng</t>
  </si>
  <si>
    <t>e-m10markiv_1.dng</t>
  </si>
  <si>
    <t>insta360_oners.dng</t>
  </si>
  <si>
    <t>iphone_15_pro_1_back_camera_lossy.dng</t>
  </si>
  <si>
    <t>iphone_15_pro_flowers.dng</t>
  </si>
  <si>
    <t>leica_sl2-s_1.dng</t>
  </si>
  <si>
    <t>linear_gradient_test_exp-curve.dng</t>
  </si>
  <si>
    <t>nikon_z_8_1437.dng</t>
  </si>
  <si>
    <t>nikon_z_9.dng</t>
  </si>
  <si>
    <t>pentax_k-3_mark_iii_1.dng</t>
  </si>
  <si>
    <t>pixel_9_pro_fold_20240902_030456036.dng</t>
  </si>
  <si>
    <t>rgb_ramp_test_bcurve.dng</t>
  </si>
  <si>
    <t>rgb_ramp_test_bcurve2.dng</t>
  </si>
  <si>
    <t>rgb_ramp_test_gcurve.dng</t>
  </si>
  <si>
    <t>rgb_ramp_test_maincurve.dng</t>
  </si>
  <si>
    <t>rgb_ramp_test_mainrgbcurve.dng</t>
  </si>
  <si>
    <t>rgb_ramp_test_multi-curve.dng</t>
  </si>
  <si>
    <t>rgb_ramp_test_rcurve.dng</t>
  </si>
  <si>
    <t>rgb_ramp_test.dng</t>
  </si>
  <si>
    <t>ricoh_gr_iiix_1.dng</t>
  </si>
  <si>
    <t>sony_dsc-rx100m7.dng</t>
  </si>
  <si>
    <t>sony_ilce-7c_cfa_jxl_lossy_4ifds.dng</t>
  </si>
  <si>
    <t>sony_ilce-7c_lossy.dng</t>
  </si>
  <si>
    <t>filename</t>
  </si>
  <si>
    <t>Temperature</t>
  </si>
  <si>
    <t>Tint</t>
  </si>
  <si>
    <t>Exposure2012</t>
  </si>
  <si>
    <t>orientation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</si>
</sst>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0C8FE-B6F3-4D4F-B0DE-FC349D9CCDDB}">
  <dimension ref="A1:E41"/>
  <sheetViews>
    <sheetView tabSelected="1" workbookViewId="0">
      <selection activeCell="D1" sqref="D1:D1048576"/>
    </sheetView>
  </sheetViews>
  <sheetFormatPr baseColWidth="10" defaultRowHeight="16" x14ac:dyDescent="0.2"/>
  <cols>
    <col min="1" max="1" width="72.6640625" customWidth="1"/>
    <col min="2" max="3" width="25.33203125" customWidth="1"/>
    <col min="4" max="4" width="21.1640625" customWidth="1"/>
    <col min="5" max="5" width="19.5" customWidth="1"/>
  </cols>
  <sheetData>
    <row r="1" spans="1:5" x14ac:dyDescent="0.2">
      <c r="A1" t="s">
        <v>40</v>
      </c>
      <c r="B1" t="s">
        <v>42</v>
      </c>
      <c r="C1" t="s">
        <v>41</v>
      </c>
      <c r="D1" t="s">
        <v>43</v>
      </c>
      <c r="E1" t="s">
        <v>44</v>
      </c>
    </row>
    <row r="2" spans="1:5" x14ac:dyDescent="0.2">
      <c r="A2" s="1" t="s">
        <v>0</v>
      </c>
      <c r="B2">
        <f>20*SIN((ROW()-2)*PI()/8)</f>
        <v>0</v>
      </c>
      <c r="C2">
        <f>5500+1000*COS((ROW()-2)*PI()/16)</f>
        <v>6500</v>
      </c>
      <c r="D2">
        <f>-3+4*(ROW()-2)/40</f>
        <v>-3</v>
      </c>
      <c r="E2">
        <f ca="1">CHOOSE(RANDBETWEEN(1, 4), 1, 3, 6, 8)</f>
        <v>3</v>
      </c>
    </row>
    <row r="3" spans="1:5" x14ac:dyDescent="0.2">
      <c r="A3" s="1" t="s">
        <v>1</v>
      </c>
      <c r="B3">
        <f t="shared" ref="B3:B41" si="0">20*SIN((ROW()-2)*PI()/8)</f>
        <v>7.6536686473017959</v>
      </c>
      <c r="C3">
        <f t="shared" ref="C3:C41" si="1">5500+1000*COS((ROW()-2)*PI()/16)</f>
        <v>6480.78528040323</v>
      </c>
      <c r="D3">
        <f t="shared" ref="D3:D41" si="2">-3+4*(ROW()-2)/40</f>
        <v>-2.9</v>
      </c>
      <c r="E3">
        <f t="shared" ref="E3:E41" ca="1" si="3">CHOOSE(RANDBETWEEN(1, 4), 1, 3, 6, 8)</f>
        <v>8</v>
      </c>
    </row>
    <row r="4" spans="1:5" x14ac:dyDescent="0.2">
      <c r="A4" s="1" t="s">
        <v>2</v>
      </c>
      <c r="B4">
        <f t="shared" si="0"/>
        <v>14.142135623730949</v>
      </c>
      <c r="C4">
        <f t="shared" si="1"/>
        <v>6423.8795325112869</v>
      </c>
      <c r="D4">
        <f t="shared" si="2"/>
        <v>-2.8</v>
      </c>
      <c r="E4">
        <f t="shared" ca="1" si="3"/>
        <v>3</v>
      </c>
    </row>
    <row r="5" spans="1:5" x14ac:dyDescent="0.2">
      <c r="A5" s="1" t="s">
        <v>3</v>
      </c>
      <c r="B5">
        <f t="shared" si="0"/>
        <v>18.477590650225736</v>
      </c>
      <c r="C5">
        <f t="shared" si="1"/>
        <v>6331.4696123025451</v>
      </c>
      <c r="D5">
        <f t="shared" si="2"/>
        <v>-2.7</v>
      </c>
      <c r="E5">
        <f t="shared" ca="1" si="3"/>
        <v>8</v>
      </c>
    </row>
    <row r="6" spans="1:5" x14ac:dyDescent="0.2">
      <c r="A6" s="1" t="s">
        <v>4</v>
      </c>
      <c r="B6">
        <f t="shared" si="0"/>
        <v>20</v>
      </c>
      <c r="C6">
        <f t="shared" si="1"/>
        <v>6207.1067811865478</v>
      </c>
      <c r="D6">
        <f t="shared" si="2"/>
        <v>-2.6</v>
      </c>
      <c r="E6">
        <f t="shared" ca="1" si="3"/>
        <v>6</v>
      </c>
    </row>
    <row r="7" spans="1:5" x14ac:dyDescent="0.2">
      <c r="A7" s="1" t="s">
        <v>5</v>
      </c>
      <c r="B7">
        <f t="shared" si="0"/>
        <v>18.477590650225736</v>
      </c>
      <c r="C7">
        <f t="shared" si="1"/>
        <v>6055.5702330196018</v>
      </c>
      <c r="D7">
        <f t="shared" si="2"/>
        <v>-2.5</v>
      </c>
      <c r="E7">
        <f t="shared" ca="1" si="3"/>
        <v>3</v>
      </c>
    </row>
    <row r="8" spans="1:5" x14ac:dyDescent="0.2">
      <c r="A8" s="1" t="s">
        <v>6</v>
      </c>
      <c r="B8">
        <f t="shared" si="0"/>
        <v>14.142135623730951</v>
      </c>
      <c r="C8">
        <f t="shared" si="1"/>
        <v>5882.6834323650901</v>
      </c>
      <c r="D8">
        <f t="shared" si="2"/>
        <v>-2.4</v>
      </c>
      <c r="E8">
        <f t="shared" ca="1" si="3"/>
        <v>1</v>
      </c>
    </row>
    <row r="9" spans="1:5" x14ac:dyDescent="0.2">
      <c r="A9" s="1" t="s">
        <v>7</v>
      </c>
      <c r="B9">
        <f t="shared" si="0"/>
        <v>7.6536686473017976</v>
      </c>
      <c r="C9">
        <f t="shared" si="1"/>
        <v>5695.0903220161281</v>
      </c>
      <c r="D9">
        <f t="shared" si="2"/>
        <v>-2.2999999999999998</v>
      </c>
      <c r="E9">
        <f t="shared" ca="1" si="3"/>
        <v>6</v>
      </c>
    </row>
    <row r="10" spans="1:5" x14ac:dyDescent="0.2">
      <c r="A10" s="1" t="s">
        <v>8</v>
      </c>
      <c r="B10">
        <f t="shared" si="0"/>
        <v>2.4492935982947065E-15</v>
      </c>
      <c r="C10">
        <f t="shared" si="1"/>
        <v>5500</v>
      </c>
      <c r="D10">
        <f t="shared" si="2"/>
        <v>-2.2000000000000002</v>
      </c>
      <c r="E10">
        <f t="shared" ca="1" si="3"/>
        <v>1</v>
      </c>
    </row>
    <row r="11" spans="1:5" x14ac:dyDescent="0.2">
      <c r="A11" s="1" t="s">
        <v>9</v>
      </c>
      <c r="B11">
        <f t="shared" si="0"/>
        <v>-7.6536686473017932</v>
      </c>
      <c r="C11">
        <f t="shared" si="1"/>
        <v>5304.9096779838719</v>
      </c>
      <c r="D11">
        <f t="shared" si="2"/>
        <v>-2.1</v>
      </c>
      <c r="E11">
        <f t="shared" ca="1" si="3"/>
        <v>8</v>
      </c>
    </row>
    <row r="12" spans="1:5" x14ac:dyDescent="0.2">
      <c r="A12" s="1" t="s">
        <v>10</v>
      </c>
      <c r="B12">
        <f t="shared" si="0"/>
        <v>-14.142135623730949</v>
      </c>
      <c r="C12">
        <f t="shared" si="1"/>
        <v>5117.3165676349099</v>
      </c>
      <c r="D12">
        <f t="shared" si="2"/>
        <v>-2</v>
      </c>
      <c r="E12">
        <f t="shared" ca="1" si="3"/>
        <v>6</v>
      </c>
    </row>
    <row r="13" spans="1:5" x14ac:dyDescent="0.2">
      <c r="A13" s="1" t="s">
        <v>11</v>
      </c>
      <c r="B13">
        <f t="shared" si="0"/>
        <v>-18.477590650225729</v>
      </c>
      <c r="C13">
        <f t="shared" si="1"/>
        <v>4944.4297669803982</v>
      </c>
      <c r="D13">
        <f t="shared" si="2"/>
        <v>-1.9</v>
      </c>
      <c r="E13">
        <f t="shared" ca="1" si="3"/>
        <v>1</v>
      </c>
    </row>
    <row r="14" spans="1:5" x14ac:dyDescent="0.2">
      <c r="A14" s="1" t="s">
        <v>12</v>
      </c>
      <c r="B14">
        <f t="shared" si="0"/>
        <v>-20</v>
      </c>
      <c r="C14">
        <f t="shared" si="1"/>
        <v>4792.8932188134522</v>
      </c>
      <c r="D14">
        <f t="shared" si="2"/>
        <v>-1.8</v>
      </c>
      <c r="E14">
        <f t="shared" ca="1" si="3"/>
        <v>8</v>
      </c>
    </row>
    <row r="15" spans="1:5" x14ac:dyDescent="0.2">
      <c r="A15" s="1" t="s">
        <v>13</v>
      </c>
      <c r="B15">
        <f t="shared" si="0"/>
        <v>-18.477590650225732</v>
      </c>
      <c r="C15">
        <f t="shared" si="1"/>
        <v>4668.5303876974549</v>
      </c>
      <c r="D15">
        <f t="shared" si="2"/>
        <v>-1.7</v>
      </c>
      <c r="E15">
        <f t="shared" ca="1" si="3"/>
        <v>1</v>
      </c>
    </row>
    <row r="16" spans="1:5" x14ac:dyDescent="0.2">
      <c r="A16" s="1" t="s">
        <v>14</v>
      </c>
      <c r="B16">
        <f t="shared" si="0"/>
        <v>-14.142135623730955</v>
      </c>
      <c r="C16">
        <f t="shared" si="1"/>
        <v>4576.1204674887131</v>
      </c>
      <c r="D16">
        <f t="shared" si="2"/>
        <v>-1.6</v>
      </c>
      <c r="E16">
        <f t="shared" ca="1" si="3"/>
        <v>1</v>
      </c>
    </row>
    <row r="17" spans="1:5" x14ac:dyDescent="0.2">
      <c r="A17" s="1" t="s">
        <v>15</v>
      </c>
      <c r="B17">
        <f t="shared" si="0"/>
        <v>-7.6536686473018083</v>
      </c>
      <c r="C17">
        <f t="shared" si="1"/>
        <v>4519.21471959677</v>
      </c>
      <c r="D17">
        <f t="shared" si="2"/>
        <v>-1.5</v>
      </c>
      <c r="E17">
        <f t="shared" ca="1" si="3"/>
        <v>1</v>
      </c>
    </row>
    <row r="18" spans="1:5" x14ac:dyDescent="0.2">
      <c r="A18" s="1" t="s">
        <v>16</v>
      </c>
      <c r="B18">
        <f t="shared" si="0"/>
        <v>-4.898587196589413E-15</v>
      </c>
      <c r="C18">
        <f t="shared" si="1"/>
        <v>4500</v>
      </c>
      <c r="D18">
        <f t="shared" si="2"/>
        <v>-1.4</v>
      </c>
      <c r="E18">
        <f t="shared" ca="1" si="3"/>
        <v>3</v>
      </c>
    </row>
    <row r="19" spans="1:5" x14ac:dyDescent="0.2">
      <c r="A19" s="1" t="s">
        <v>17</v>
      </c>
      <c r="B19">
        <f t="shared" si="0"/>
        <v>7.6536686473017994</v>
      </c>
      <c r="C19">
        <f t="shared" si="1"/>
        <v>4519.21471959677</v>
      </c>
      <c r="D19">
        <f t="shared" si="2"/>
        <v>-1.3</v>
      </c>
      <c r="E19">
        <f t="shared" ca="1" si="3"/>
        <v>3</v>
      </c>
    </row>
    <row r="20" spans="1:5" x14ac:dyDescent="0.2">
      <c r="A20" s="1" t="s">
        <v>18</v>
      </c>
      <c r="B20">
        <f t="shared" si="0"/>
        <v>14.142135623730947</v>
      </c>
      <c r="C20">
        <f t="shared" si="1"/>
        <v>4576.1204674887131</v>
      </c>
      <c r="D20">
        <f t="shared" si="2"/>
        <v>-1.2</v>
      </c>
      <c r="E20">
        <f t="shared" ca="1" si="3"/>
        <v>3</v>
      </c>
    </row>
    <row r="21" spans="1:5" x14ac:dyDescent="0.2">
      <c r="A21" s="1" t="s">
        <v>19</v>
      </c>
      <c r="B21">
        <f t="shared" si="0"/>
        <v>18.477590650225729</v>
      </c>
      <c r="C21">
        <f t="shared" si="1"/>
        <v>4668.5303876974549</v>
      </c>
      <c r="D21">
        <f t="shared" si="2"/>
        <v>-1.1000000000000001</v>
      </c>
      <c r="E21">
        <f t="shared" ca="1" si="3"/>
        <v>1</v>
      </c>
    </row>
    <row r="22" spans="1:5" x14ac:dyDescent="0.2">
      <c r="A22" s="1" t="s">
        <v>20</v>
      </c>
      <c r="B22">
        <f t="shared" si="0"/>
        <v>20</v>
      </c>
      <c r="C22">
        <f t="shared" si="1"/>
        <v>4792.8932188134522</v>
      </c>
      <c r="D22">
        <f t="shared" si="2"/>
        <v>-1</v>
      </c>
      <c r="E22">
        <f t="shared" ca="1" si="3"/>
        <v>1</v>
      </c>
    </row>
    <row r="23" spans="1:5" x14ac:dyDescent="0.2">
      <c r="A23" s="1" t="s">
        <v>21</v>
      </c>
      <c r="B23">
        <f t="shared" si="0"/>
        <v>18.477590650225736</v>
      </c>
      <c r="C23">
        <f t="shared" si="1"/>
        <v>4944.4297669803982</v>
      </c>
      <c r="D23">
        <f t="shared" si="2"/>
        <v>-0.89999999999999991</v>
      </c>
      <c r="E23">
        <f t="shared" ca="1" si="3"/>
        <v>1</v>
      </c>
    </row>
    <row r="24" spans="1:5" x14ac:dyDescent="0.2">
      <c r="A24" s="1" t="s">
        <v>22</v>
      </c>
      <c r="B24">
        <f t="shared" si="0"/>
        <v>14.142135623730969</v>
      </c>
      <c r="C24">
        <f t="shared" si="1"/>
        <v>5117.3165676349099</v>
      </c>
      <c r="D24">
        <f t="shared" si="2"/>
        <v>-0.79999999999999982</v>
      </c>
      <c r="E24">
        <f t="shared" ca="1" si="3"/>
        <v>3</v>
      </c>
    </row>
    <row r="25" spans="1:5" x14ac:dyDescent="0.2">
      <c r="A25" s="1" t="s">
        <v>23</v>
      </c>
      <c r="B25">
        <f t="shared" si="0"/>
        <v>7.6536686473018101</v>
      </c>
      <c r="C25">
        <f t="shared" si="1"/>
        <v>5304.909677983871</v>
      </c>
      <c r="D25">
        <f t="shared" si="2"/>
        <v>-0.70000000000000018</v>
      </c>
      <c r="E25">
        <f t="shared" ca="1" si="3"/>
        <v>3</v>
      </c>
    </row>
    <row r="26" spans="1:5" x14ac:dyDescent="0.2">
      <c r="A26" s="1" t="s">
        <v>24</v>
      </c>
      <c r="B26">
        <f t="shared" si="0"/>
        <v>7.3478807948841184E-15</v>
      </c>
      <c r="C26">
        <f t="shared" si="1"/>
        <v>5500</v>
      </c>
      <c r="D26">
        <f t="shared" si="2"/>
        <v>-0.60000000000000009</v>
      </c>
      <c r="E26">
        <f t="shared" ca="1" si="3"/>
        <v>6</v>
      </c>
    </row>
    <row r="27" spans="1:5" x14ac:dyDescent="0.2">
      <c r="A27" s="1" t="s">
        <v>25</v>
      </c>
      <c r="B27">
        <f t="shared" si="0"/>
        <v>-7.6536686473017967</v>
      </c>
      <c r="C27">
        <f t="shared" si="1"/>
        <v>5695.0903220161281</v>
      </c>
      <c r="D27">
        <f t="shared" si="2"/>
        <v>-0.5</v>
      </c>
      <c r="E27">
        <f t="shared" ca="1" si="3"/>
        <v>6</v>
      </c>
    </row>
    <row r="28" spans="1:5" x14ac:dyDescent="0.2">
      <c r="A28" s="1" t="s">
        <v>26</v>
      </c>
      <c r="B28">
        <f t="shared" si="0"/>
        <v>-14.142135623730958</v>
      </c>
      <c r="C28">
        <f t="shared" si="1"/>
        <v>5882.6834323650901</v>
      </c>
      <c r="D28">
        <f t="shared" si="2"/>
        <v>-0.39999999999999991</v>
      </c>
      <c r="E28">
        <f t="shared" ca="1" si="3"/>
        <v>1</v>
      </c>
    </row>
    <row r="29" spans="1:5" x14ac:dyDescent="0.2">
      <c r="A29" s="1" t="s">
        <v>27</v>
      </c>
      <c r="B29">
        <f t="shared" si="0"/>
        <v>-18.477590650225729</v>
      </c>
      <c r="C29">
        <f t="shared" si="1"/>
        <v>6055.5702330196018</v>
      </c>
      <c r="D29">
        <f t="shared" si="2"/>
        <v>-0.29999999999999982</v>
      </c>
      <c r="E29">
        <f t="shared" ca="1" si="3"/>
        <v>3</v>
      </c>
    </row>
    <row r="30" spans="1:5" x14ac:dyDescent="0.2">
      <c r="A30" s="1" t="s">
        <v>28</v>
      </c>
      <c r="B30">
        <f t="shared" si="0"/>
        <v>-20</v>
      </c>
      <c r="C30">
        <f t="shared" si="1"/>
        <v>6207.1067811865469</v>
      </c>
      <c r="D30">
        <f t="shared" si="2"/>
        <v>-0.20000000000000018</v>
      </c>
      <c r="E30">
        <f t="shared" ca="1" si="3"/>
        <v>1</v>
      </c>
    </row>
    <row r="31" spans="1:5" x14ac:dyDescent="0.2">
      <c r="A31" s="1" t="s">
        <v>29</v>
      </c>
      <c r="B31">
        <f t="shared" si="0"/>
        <v>-18.477590650225736</v>
      </c>
      <c r="C31">
        <f t="shared" si="1"/>
        <v>6331.4696123025451</v>
      </c>
      <c r="D31">
        <f t="shared" si="2"/>
        <v>-0.10000000000000009</v>
      </c>
      <c r="E31">
        <f t="shared" ca="1" si="3"/>
        <v>3</v>
      </c>
    </row>
    <row r="32" spans="1:5" x14ac:dyDescent="0.2">
      <c r="A32" s="1" t="s">
        <v>30</v>
      </c>
      <c r="B32">
        <f t="shared" si="0"/>
        <v>-14.142135623730969</v>
      </c>
      <c r="C32">
        <f t="shared" si="1"/>
        <v>6423.879532511286</v>
      </c>
      <c r="D32">
        <f t="shared" si="2"/>
        <v>0</v>
      </c>
      <c r="E32">
        <f t="shared" ca="1" si="3"/>
        <v>3</v>
      </c>
    </row>
    <row r="33" spans="1:5" x14ac:dyDescent="0.2">
      <c r="A33" s="1" t="s">
        <v>31</v>
      </c>
      <c r="B33">
        <f t="shared" si="0"/>
        <v>-7.6536686473018118</v>
      </c>
      <c r="C33">
        <f t="shared" si="1"/>
        <v>6480.78528040323</v>
      </c>
      <c r="D33">
        <f t="shared" si="2"/>
        <v>0.10000000000000009</v>
      </c>
      <c r="E33">
        <f t="shared" ca="1" si="3"/>
        <v>6</v>
      </c>
    </row>
    <row r="34" spans="1:5" x14ac:dyDescent="0.2">
      <c r="A34" s="1" t="s">
        <v>32</v>
      </c>
      <c r="B34">
        <f t="shared" si="0"/>
        <v>-9.7971743931788261E-15</v>
      </c>
      <c r="C34">
        <f t="shared" si="1"/>
        <v>6500</v>
      </c>
      <c r="D34">
        <f t="shared" si="2"/>
        <v>0.20000000000000018</v>
      </c>
      <c r="E34">
        <f t="shared" ca="1" si="3"/>
        <v>6</v>
      </c>
    </row>
    <row r="35" spans="1:5" x14ac:dyDescent="0.2">
      <c r="A35" s="1" t="s">
        <v>33</v>
      </c>
      <c r="B35">
        <f t="shared" si="0"/>
        <v>7.6536686473017941</v>
      </c>
      <c r="C35">
        <f t="shared" si="1"/>
        <v>6480.78528040323</v>
      </c>
      <c r="D35">
        <f t="shared" si="2"/>
        <v>0.29999999999999982</v>
      </c>
      <c r="E35">
        <f t="shared" ca="1" si="3"/>
        <v>1</v>
      </c>
    </row>
    <row r="36" spans="1:5" x14ac:dyDescent="0.2">
      <c r="A36" s="1" t="s">
        <v>34</v>
      </c>
      <c r="B36">
        <f t="shared" si="0"/>
        <v>14.142135623730956</v>
      </c>
      <c r="C36">
        <f t="shared" si="1"/>
        <v>6423.8795325112869</v>
      </c>
      <c r="D36">
        <f t="shared" si="2"/>
        <v>0.39999999999999991</v>
      </c>
      <c r="E36">
        <f t="shared" ca="1" si="3"/>
        <v>8</v>
      </c>
    </row>
    <row r="37" spans="1:5" x14ac:dyDescent="0.2">
      <c r="A37" s="1" t="s">
        <v>35</v>
      </c>
      <c r="B37">
        <f t="shared" si="0"/>
        <v>18.477590650225729</v>
      </c>
      <c r="C37">
        <f t="shared" si="1"/>
        <v>6331.4696123025451</v>
      </c>
      <c r="D37">
        <f t="shared" si="2"/>
        <v>0.5</v>
      </c>
      <c r="E37">
        <f t="shared" ca="1" si="3"/>
        <v>6</v>
      </c>
    </row>
    <row r="38" spans="1:5" x14ac:dyDescent="0.2">
      <c r="A38" s="1" t="s">
        <v>36</v>
      </c>
      <c r="B38">
        <f t="shared" si="0"/>
        <v>20</v>
      </c>
      <c r="C38">
        <f t="shared" si="1"/>
        <v>6207.1067811865478</v>
      </c>
      <c r="D38">
        <f t="shared" si="2"/>
        <v>0.60000000000000009</v>
      </c>
      <c r="E38">
        <f t="shared" ca="1" si="3"/>
        <v>6</v>
      </c>
    </row>
    <row r="39" spans="1:5" x14ac:dyDescent="0.2">
      <c r="A39" s="1" t="s">
        <v>37</v>
      </c>
      <c r="B39">
        <f t="shared" si="0"/>
        <v>18.477590650225736</v>
      </c>
      <c r="C39">
        <f t="shared" si="1"/>
        <v>6055.5702330196018</v>
      </c>
      <c r="D39">
        <f t="shared" si="2"/>
        <v>0.70000000000000018</v>
      </c>
      <c r="E39">
        <f t="shared" ca="1" si="3"/>
        <v>3</v>
      </c>
    </row>
    <row r="40" spans="1:5" x14ac:dyDescent="0.2">
      <c r="A40" s="1" t="s">
        <v>38</v>
      </c>
      <c r="B40">
        <f t="shared" si="0"/>
        <v>14.142135623730972</v>
      </c>
      <c r="C40">
        <f t="shared" si="1"/>
        <v>5882.6834323650901</v>
      </c>
      <c r="D40">
        <f t="shared" si="2"/>
        <v>0.79999999999999982</v>
      </c>
      <c r="E40">
        <f t="shared" ca="1" si="3"/>
        <v>6</v>
      </c>
    </row>
    <row r="41" spans="1:5" x14ac:dyDescent="0.2">
      <c r="A41" s="1" t="s">
        <v>39</v>
      </c>
      <c r="B41">
        <f t="shared" si="0"/>
        <v>7.6536686473018145</v>
      </c>
      <c r="C41">
        <f t="shared" si="1"/>
        <v>5695.090322016129</v>
      </c>
      <c r="D41">
        <f t="shared" si="2"/>
        <v>0.89999999999999991</v>
      </c>
      <c r="E41">
        <f t="shared" ca="1" si="3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test_param_list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Uyttendaele</dc:creator>
  <cp:lastModifiedBy>Matt Uyttendaele</cp:lastModifiedBy>
  <dcterms:created xsi:type="dcterms:W3CDTF">2026-04-29T17:41:26Z</dcterms:created>
  <dcterms:modified xsi:type="dcterms:W3CDTF">2026-04-29T17:56:01Z</dcterms:modified>
</cp:coreProperties>
</file>